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filterPrivacy="1" hidePivotFieldList="1" defaultThemeVersion="166925"/>
  <xr:revisionPtr revIDLastSave="0" documentId="8_{62077682-4FDB-466B-A7DA-B2E4A69C2B67}" xr6:coauthVersionLast="47" xr6:coauthVersionMax="47" xr10:uidLastSave="{00000000-0000-0000-0000-000000000000}"/>
  <bookViews>
    <workbookView xWindow="0" yWindow="0" windowWidth="28560" windowHeight="13905" activeTab="1" xr2:uid="{A22C7B05-6B0A-4116-A99A-60EDDEA67682}"/>
  </bookViews>
  <sheets>
    <sheet name="Reporte_RRHH" sheetId="2" r:id="rId1"/>
    <sheet name="Empleados" sheetId="1" r:id="rId2"/>
    <sheet name="Formulas" sheetId="3" r:id="rId3"/>
  </sheets>
  <definedNames>
    <definedName name="SegmentaciónDeDatos_Departamento">#N/A</definedName>
    <definedName name="SegmentaciónDeDatos_Estado">#N/A</definedName>
  </definedNames>
  <calcPr calcId="191028"/>
  <pivotCaches>
    <pivotCache cacheId="18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2" l="1"/>
  <c r="I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2" i="1"/>
  <c r="J2" i="1" s="1"/>
  <c r="J3" i="1"/>
  <c r="J4" i="1"/>
  <c r="J5" i="1"/>
  <c r="J6" i="1"/>
  <c r="J7" i="1"/>
  <c r="J8" i="1"/>
  <c r="J9" i="1"/>
  <c r="J10" i="1"/>
  <c r="J11" i="1"/>
  <c r="J12" i="1"/>
</calcChain>
</file>

<file path=xl/sharedStrings.xml><?xml version="1.0" encoding="utf-8"?>
<sst xmlns="http://schemas.openxmlformats.org/spreadsheetml/2006/main" count="279" uniqueCount="128">
  <si>
    <t>Tasa de Rotación Total</t>
  </si>
  <si>
    <t>Recuento de ID_Emp</t>
  </si>
  <si>
    <t>Estado</t>
  </si>
  <si>
    <t>Departamento</t>
  </si>
  <si>
    <t>Activo</t>
  </si>
  <si>
    <t>Inactivo</t>
  </si>
  <si>
    <t>Total general</t>
  </si>
  <si>
    <t>Finanzas</t>
  </si>
  <si>
    <t>IT</t>
  </si>
  <si>
    <t>Marketing</t>
  </si>
  <si>
    <t>Recursos Humanos</t>
  </si>
  <si>
    <t>Ventas</t>
  </si>
  <si>
    <t>ID_Emp</t>
  </si>
  <si>
    <t>Nombre</t>
  </si>
  <si>
    <t>Genero</t>
  </si>
  <si>
    <t>Fecha_Ingreso</t>
  </si>
  <si>
    <t>Fecha_Egreso</t>
  </si>
  <si>
    <t>Salario</t>
  </si>
  <si>
    <t xml:space="preserve"> Antigüedad formula</t>
  </si>
  <si>
    <t>Antigüedad</t>
  </si>
  <si>
    <t>E001</t>
  </si>
  <si>
    <t>Victor Hugo</t>
  </si>
  <si>
    <t>Masculino</t>
  </si>
  <si>
    <t>E002</t>
  </si>
  <si>
    <t>Ursula Corberó</t>
  </si>
  <si>
    <t>Femenino</t>
  </si>
  <si>
    <t>E003</t>
  </si>
  <si>
    <t>Walter White</t>
  </si>
  <si>
    <t>E004</t>
  </si>
  <si>
    <t>Ximena Duque</t>
  </si>
  <si>
    <t>E005</t>
  </si>
  <si>
    <t>Yago Muñoz</t>
  </si>
  <si>
    <t>E006</t>
  </si>
  <si>
    <t>Zulema Zahir</t>
  </si>
  <si>
    <t>E007</t>
  </si>
  <si>
    <t>Adrian Paenza</t>
  </si>
  <si>
    <t>E008</t>
  </si>
  <si>
    <t>Beatriz Sarlo</t>
  </si>
  <si>
    <t>E009</t>
  </si>
  <si>
    <t>César Aira</t>
  </si>
  <si>
    <t>E010</t>
  </si>
  <si>
    <t>Diana Bellessi</t>
  </si>
  <si>
    <t>E011</t>
  </si>
  <si>
    <t>Roberto Sanz</t>
  </si>
  <si>
    <t>E012</t>
  </si>
  <si>
    <t>Lucía Méndez</t>
  </si>
  <si>
    <t>E013</t>
  </si>
  <si>
    <t>Ricardo Tapia</t>
  </si>
  <si>
    <t>E014</t>
  </si>
  <si>
    <t>Mónica Delta</t>
  </si>
  <si>
    <t>E015</t>
  </si>
  <si>
    <t>Kevin Flynn</t>
  </si>
  <si>
    <t>E016</t>
  </si>
  <si>
    <t>Rosa Bernal</t>
  </si>
  <si>
    <t>E017</t>
  </si>
  <si>
    <t>Fabio Cortez</t>
  </si>
  <si>
    <t>E018</t>
  </si>
  <si>
    <t>Gina Lollo</t>
  </si>
  <si>
    <t>E019</t>
  </si>
  <si>
    <t>Hugo Bossi</t>
  </si>
  <si>
    <t>E020</t>
  </si>
  <si>
    <t>Irene Adler</t>
  </si>
  <si>
    <t>E021</t>
  </si>
  <si>
    <t>Jorge Luis</t>
  </si>
  <si>
    <t>E022</t>
  </si>
  <si>
    <t>Karen Page</t>
  </si>
  <si>
    <t>E023</t>
  </si>
  <si>
    <t>Liam Neeson</t>
  </si>
  <si>
    <t>E024</t>
  </si>
  <si>
    <t>Mateo Cano</t>
  </si>
  <si>
    <t>E025</t>
  </si>
  <si>
    <t>Nora West</t>
  </si>
  <si>
    <t>E026</t>
  </si>
  <si>
    <t>Oscar Wilde</t>
  </si>
  <si>
    <t>E027</t>
  </si>
  <si>
    <t>Paula Abdul</t>
  </si>
  <si>
    <t>E028</t>
  </si>
  <si>
    <t>Quentin T.</t>
  </si>
  <si>
    <t>E029</t>
  </si>
  <si>
    <t>Ringo Starr</t>
  </si>
  <si>
    <t>E030</t>
  </si>
  <si>
    <t>Sara Connor</t>
  </si>
  <si>
    <t>E031</t>
  </si>
  <si>
    <t>Esteban Lamothe</t>
  </si>
  <si>
    <t>E032</t>
  </si>
  <si>
    <t>Fito Páez</t>
  </si>
  <si>
    <t>E033</t>
  </si>
  <si>
    <t>Griselda Siciliani</t>
  </si>
  <si>
    <t>E034</t>
  </si>
  <si>
    <t>Horacio Pagani</t>
  </si>
  <si>
    <t>E035</t>
  </si>
  <si>
    <t>Isabel Sarli</t>
  </si>
  <si>
    <t>E036</t>
  </si>
  <si>
    <t>Joaquín Sabina</t>
  </si>
  <si>
    <t>E037</t>
  </si>
  <si>
    <t>Kevin Johansen</t>
  </si>
  <si>
    <t>E038</t>
  </si>
  <si>
    <t>Lali Espósito</t>
  </si>
  <si>
    <t>E039</t>
  </si>
  <si>
    <t>Messi Lionel</t>
  </si>
  <si>
    <t>E040</t>
  </si>
  <si>
    <t>Natalia Oreiro</t>
  </si>
  <si>
    <t>E041</t>
  </si>
  <si>
    <t>Oscar Martínez</t>
  </si>
  <si>
    <t>E042</t>
  </si>
  <si>
    <t>Peter Lanzani</t>
  </si>
  <si>
    <t>E043</t>
  </si>
  <si>
    <t>Quino Mafalda</t>
  </si>
  <si>
    <t>E044</t>
  </si>
  <si>
    <t>Ricardo Darín</t>
  </si>
  <si>
    <t>E045</t>
  </si>
  <si>
    <t>Susana Giménez</t>
  </si>
  <si>
    <t>E046</t>
  </si>
  <si>
    <t>Tini Stoessel</t>
  </si>
  <si>
    <t>E047</t>
  </si>
  <si>
    <t>Ulises Bueno</t>
  </si>
  <si>
    <t>E048</t>
  </si>
  <si>
    <t>Viggo Mortensen</t>
  </si>
  <si>
    <t>E049</t>
  </si>
  <si>
    <t>Wanda Nara</t>
  </si>
  <si>
    <t>E050</t>
  </si>
  <si>
    <t>Zeta Bosio</t>
  </si>
  <si>
    <t>Cálculo de Antigüedad:</t>
  </si>
  <si>
    <t>SI.FECHA(D2; HOY(); "m")</t>
  </si>
  <si>
    <t>Normalización:</t>
  </si>
  <si>
    <t>REDONDEAR.MENOS</t>
  </si>
  <si>
    <t>Métrica de Negocio:</t>
  </si>
  <si>
    <t>Explicar por qué usaste "% del total de filas" (para comparar la salud de cada departamento de forma justa).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</si>
</sst>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Times New Roman"/>
    </font>
    <font>
      <sz val="11"/>
      <color rgb="FF000000"/>
      <name val="Calibri"/>
      <scheme val="minor"/>
    </font>
    <font>
      <b/>
      <sz val="24"/>
      <color rgb="FF000000"/>
      <name val="Calibri Light"/>
      <scheme val="major"/>
    </font>
    <font>
      <sz val="24"/>
      <color rgb="FFED7D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2" borderId="0" xfId="0" applyFont="1" applyFill="1" applyAlignment="1"/>
    <xf numFmtId="14" fontId="0" fillId="0" borderId="0" xfId="0" applyNumberFormat="1"/>
    <xf numFmtId="2" fontId="0" fillId="0" borderId="0" xfId="0" applyNumberFormat="1"/>
    <xf numFmtId="0" fontId="4" fillId="0" borderId="0" xfId="0" applyFont="1" applyAlignment="1">
      <alignment wrapText="1"/>
    </xf>
    <xf numFmtId="0" fontId="0" fillId="0" borderId="0" xfId="0" pivotButton="1"/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6">
    <dxf>
      <numFmt numFmtId="1" formatCode="0"/>
    </dxf>
    <dxf>
      <numFmt numFmtId="2" formatCode="0.00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</dxfs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[dataset_rrhh_limpio 1.xlsx]Reporte_RRHH!TD_Resumen_Rotacion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Reporte_RRHH!$B$3:$B$4</c:f>
              <c:strCache>
                <c:ptCount val="1"/>
                <c:pt idx="0">
                  <c:v>Activo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Reporte_RRHH!$A$5:$A$10</c:f>
              <c:strCache>
                <c:ptCount val="5"/>
                <c:pt idx="0">
                  <c:v>Finanzas</c:v>
                </c:pt>
                <c:pt idx="1">
                  <c:v>IT</c:v>
                </c:pt>
                <c:pt idx="2">
                  <c:v>Marketing</c:v>
                </c:pt>
                <c:pt idx="3">
                  <c:v>Recursos Humanos</c:v>
                </c:pt>
                <c:pt idx="4">
                  <c:v>Ventas</c:v>
                </c:pt>
              </c:strCache>
            </c:strRef>
          </c:cat>
          <c:val>
            <c:numRef>
              <c:f>Reporte_RRHH!$B$5:$B$10</c:f>
              <c:numCache>
                <c:formatCode>0.00%</c:formatCode>
                <c:ptCount val="5"/>
                <c:pt idx="0">
                  <c:v>0.9</c:v>
                </c:pt>
                <c:pt idx="1">
                  <c:v>0.83333333333333337</c:v>
                </c:pt>
                <c:pt idx="2">
                  <c:v>0.9</c:v>
                </c:pt>
                <c:pt idx="3">
                  <c:v>0.875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5-4849-920D-335415724972}"/>
            </c:ext>
          </c:extLst>
        </c:ser>
        <c:ser>
          <c:idx val="1"/>
          <c:order val="1"/>
          <c:tx>
            <c:strRef>
              <c:f>Reporte_RRHH!$C$3:$C$4</c:f>
              <c:strCache>
                <c:ptCount val="1"/>
                <c:pt idx="0">
                  <c:v>Inactivo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Reporte_RRHH!$A$5:$A$10</c:f>
              <c:strCache>
                <c:ptCount val="5"/>
                <c:pt idx="0">
                  <c:v>Finanzas</c:v>
                </c:pt>
                <c:pt idx="1">
                  <c:v>IT</c:v>
                </c:pt>
                <c:pt idx="2">
                  <c:v>Marketing</c:v>
                </c:pt>
                <c:pt idx="3">
                  <c:v>Recursos Humanos</c:v>
                </c:pt>
                <c:pt idx="4">
                  <c:v>Ventas</c:v>
                </c:pt>
              </c:strCache>
            </c:strRef>
          </c:cat>
          <c:val>
            <c:numRef>
              <c:f>Reporte_RRHH!$C$5:$C$10</c:f>
              <c:numCache>
                <c:formatCode>0.00%</c:formatCode>
                <c:ptCount val="5"/>
                <c:pt idx="0">
                  <c:v>0.1</c:v>
                </c:pt>
                <c:pt idx="1">
                  <c:v>0.16666666666666666</c:v>
                </c:pt>
                <c:pt idx="2">
                  <c:v>0.1</c:v>
                </c:pt>
                <c:pt idx="3">
                  <c:v>0.125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35-4849-920D-33541572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190407"/>
        <c:axId val="1649210375"/>
      </c:barChart>
      <c:catAx>
        <c:axId val="1649190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10375"/>
        <c:crosses val="autoZero"/>
        <c:auto val="1"/>
        <c:lblAlgn val="ctr"/>
        <c:lblOffset val="100"/>
        <c:noMultiLvlLbl val="0"/>
      </c:catAx>
      <c:valAx>
        <c:axId val="1649210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90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9525</xdr:rowOff>
    </xdr:from>
    <xdr:to>
      <xdr:col>13</xdr:col>
      <xdr:colOff>114300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503CDA-A864-3AED-7ECE-7E10AE9E8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142875</xdr:colOff>
      <xdr:row>11</xdr:row>
      <xdr:rowOff>123825</xdr:rowOff>
    </xdr:from>
    <xdr:to>
      <xdr:col>16</xdr:col>
      <xdr:colOff>19050</xdr:colOff>
      <xdr:row>20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partamento">
              <a:extLst>
                <a:ext uri="{FF2B5EF4-FFF2-40B4-BE49-F238E27FC236}">
                  <a16:creationId xmlns:a16="http://schemas.microsoft.com/office/drawing/2014/main" id="{66A9E696-2A08-941A-38DF-DAC49840AA7D}"/>
                </a:ext>
                <a:ext uri="{147F2762-F138-4A5C-976F-8EAC2B608ADB}">
                  <a16:predDERef xmlns:a16="http://schemas.microsoft.com/office/drawing/2014/main" pred="{A7503CDA-A864-3AED-7ECE-7E10AE9E8A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15525" y="2152650"/>
              <a:ext cx="1704975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95250</xdr:colOff>
      <xdr:row>2</xdr:row>
      <xdr:rowOff>9525</xdr:rowOff>
    </xdr:from>
    <xdr:to>
      <xdr:col>15</xdr:col>
      <xdr:colOff>542925</xdr:colOff>
      <xdr:row>10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stado">
              <a:extLst>
                <a:ext uri="{FF2B5EF4-FFF2-40B4-BE49-F238E27FC236}">
                  <a16:creationId xmlns:a16="http://schemas.microsoft.com/office/drawing/2014/main" id="{185A5358-A4A1-FA67-73A6-4007AA7E50FC}"/>
                </a:ext>
                <a:ext uri="{147F2762-F138-4A5C-976F-8EAC2B608ADB}">
                  <a16:predDERef xmlns:a16="http://schemas.microsoft.com/office/drawing/2014/main" pred="{66A9E696-2A08-941A-38DF-DAC49840AA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15525" y="333375"/>
              <a:ext cx="1666875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5.646654976852" createdVersion="8" refreshedVersion="8" minRefreshableVersion="3" recordCount="50" xr:uid="{1DECA3BD-E642-42D0-8053-E6D08A818AE3}">
  <cacheSource type="worksheet">
    <worksheetSource name="Tbl_Personal"/>
  </cacheSource>
  <cacheFields count="9">
    <cacheField name="ID_Emp" numFmtId="0">
      <sharedItems/>
    </cacheField>
    <cacheField name="Nombre" numFmtId="0">
      <sharedItems/>
    </cacheField>
    <cacheField name="Departamento" numFmtId="0">
      <sharedItems count="5">
        <s v="Ventas"/>
        <s v="Marketing"/>
        <s v="IT"/>
        <s v="Recursos Humanos"/>
        <s v="Finanzas"/>
      </sharedItems>
    </cacheField>
    <cacheField name="Fecha_Ingreso" numFmtId="14">
      <sharedItems containsSemiMixedTypes="0" containsNonDate="0" containsDate="1" containsString="0" minDate="2024-05-12T00:00:00" maxDate="2026-03-16T00:00:00"/>
    </cacheField>
    <cacheField name="Fecha_Egreso" numFmtId="0">
      <sharedItems containsNonDate="0" containsDate="1" containsString="0" containsBlank="1" minDate="2026-01-05T00:00:00" maxDate="2026-03-21T00:00:00"/>
    </cacheField>
    <cacheField name="Salario" numFmtId="0">
      <sharedItems containsSemiMixedTypes="0" containsString="0" containsNumber="1" containsInteger="1" minValue="1800" maxValue="3500"/>
    </cacheField>
    <cacheField name="Estado" numFmtId="0">
      <sharedItems containsBlank="1" count="3">
        <s v="Activo"/>
        <s v="Inactivo"/>
        <m u="1"/>
      </sharedItems>
    </cacheField>
    <cacheField name=" Antigüedad formula" numFmtId="2">
      <sharedItems containsSemiMixedTypes="0" containsString="0" containsNumber="1" minValue="0.6" maxValue="22.7"/>
    </cacheField>
    <cacheField name="Antigüedad" numFmtId="1">
      <sharedItems containsSemiMixedTypes="0" containsString="0" containsNumber="1" containsInteger="1" minValue="0" maxValue="22"/>
    </cacheField>
  </cacheFields>
  <extLst>
    <ext xmlns:x14="http://schemas.microsoft.com/office/spreadsheetml/2009/9/main" uri="{725AE2AE-9491-48be-B2B4-4EB974FC3084}">
      <x14:pivotCacheDefinition pivotCacheId="17420800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001"/>
    <s v="Victor Hugo"/>
    <x v="0"/>
    <d v="2024-05-12T00:00:00"/>
    <m/>
    <n v="1900"/>
    <x v="0"/>
    <n v="22.7"/>
    <n v="22"/>
  </r>
  <r>
    <s v="E002"/>
    <s v="Ursula Corberó"/>
    <x v="1"/>
    <d v="2024-06-18T00:00:00"/>
    <d v="2026-01-05T00:00:00"/>
    <n v="2300"/>
    <x v="1"/>
    <n v="21.5"/>
    <n v="21"/>
  </r>
  <r>
    <s v="E003"/>
    <s v="Walter White"/>
    <x v="2"/>
    <d v="2024-07-22T00:00:00"/>
    <m/>
    <n v="3200"/>
    <x v="0"/>
    <n v="20.366666666666667"/>
    <n v="20"/>
  </r>
  <r>
    <s v="E004"/>
    <s v="Ximena Duque"/>
    <x v="3"/>
    <d v="2024-08-01T00:00:00"/>
    <m/>
    <n v="2150"/>
    <x v="0"/>
    <n v="20.066666666666666"/>
    <n v="20"/>
  </r>
  <r>
    <s v="E005"/>
    <s v="Yago Muñoz"/>
    <x v="4"/>
    <d v="2024-09-15T00:00:00"/>
    <m/>
    <n v="2600"/>
    <x v="0"/>
    <n v="18.600000000000001"/>
    <n v="18"/>
  </r>
  <r>
    <s v="E006"/>
    <s v="Zulema Zahir"/>
    <x v="0"/>
    <d v="2024-10-10T00:00:00"/>
    <d v="2026-03-20T00:00:00"/>
    <n v="1850"/>
    <x v="1"/>
    <n v="17.766666666666666"/>
    <n v="17"/>
  </r>
  <r>
    <s v="E007"/>
    <s v="Adrian Paenza"/>
    <x v="2"/>
    <d v="2024-11-05T00:00:00"/>
    <m/>
    <n v="2950"/>
    <x v="0"/>
    <n v="16.933333333333334"/>
    <n v="16"/>
  </r>
  <r>
    <s v="E008"/>
    <s v="Beatriz Sarlo"/>
    <x v="1"/>
    <d v="2024-12-20T00:00:00"/>
    <m/>
    <n v="2250"/>
    <x v="0"/>
    <n v="15.433333333333334"/>
    <n v="15"/>
  </r>
  <r>
    <s v="E009"/>
    <s v="César Aira"/>
    <x v="4"/>
    <d v="2025-01-10T00:00:00"/>
    <m/>
    <n v="2400"/>
    <x v="0"/>
    <n v="14.766666666666667"/>
    <n v="14"/>
  </r>
  <r>
    <s v="E010"/>
    <s v="Diana Bellessi"/>
    <x v="3"/>
    <d v="2025-02-15T00:00:00"/>
    <d v="2026-02-10T00:00:00"/>
    <n v="2100"/>
    <x v="1"/>
    <n v="13.6"/>
    <n v="13"/>
  </r>
  <r>
    <s v="E011"/>
    <s v="Roberto Sanz"/>
    <x v="0"/>
    <d v="2025-08-10T00:00:00"/>
    <m/>
    <n v="1850"/>
    <x v="0"/>
    <n v="7.7666666666666666"/>
    <n v="7"/>
  </r>
  <r>
    <s v="E012"/>
    <s v="Lucía Méndez"/>
    <x v="2"/>
    <d v="2025-09-01T00:00:00"/>
    <d v="2026-03-05T00:00:00"/>
    <n v="2800"/>
    <x v="1"/>
    <n v="7.0666666666666664"/>
    <n v="7"/>
  </r>
  <r>
    <s v="E013"/>
    <s v="Ricardo Tapia"/>
    <x v="4"/>
    <d v="2025-09-15T00:00:00"/>
    <m/>
    <n v="2400"/>
    <x v="0"/>
    <n v="6.6"/>
    <n v="6"/>
  </r>
  <r>
    <s v="E014"/>
    <s v="Mónica Delta"/>
    <x v="1"/>
    <d v="2025-09-20T00:00:00"/>
    <m/>
    <n v="2150"/>
    <x v="0"/>
    <n v="6.4333333333333336"/>
    <n v="6"/>
  </r>
  <r>
    <s v="E015"/>
    <s v="Kevin Flynn"/>
    <x v="2"/>
    <d v="2025-10-05T00:00:00"/>
    <m/>
    <n v="2900"/>
    <x v="0"/>
    <n v="5.9333333333333336"/>
    <n v="5"/>
  </r>
  <r>
    <s v="E016"/>
    <s v="Rosa Bernal"/>
    <x v="3"/>
    <d v="2025-10-12T00:00:00"/>
    <m/>
    <n v="2050"/>
    <x v="0"/>
    <n v="5.7"/>
    <n v="5"/>
  </r>
  <r>
    <s v="E017"/>
    <s v="Fabio Cortez"/>
    <x v="0"/>
    <d v="2025-11-01T00:00:00"/>
    <d v="2026-02-28T00:00:00"/>
    <n v="1800"/>
    <x v="1"/>
    <n v="5.0666666666666664"/>
    <n v="5"/>
  </r>
  <r>
    <s v="E018"/>
    <s v="Gina Lollo"/>
    <x v="4"/>
    <d v="2025-11-15T00:00:00"/>
    <m/>
    <n v="2450"/>
    <x v="0"/>
    <n v="4.5999999999999996"/>
    <n v="4"/>
  </r>
  <r>
    <s v="E019"/>
    <s v="Hugo Bossi"/>
    <x v="1"/>
    <d v="2025-12-01T00:00:00"/>
    <m/>
    <n v="2100"/>
    <x v="0"/>
    <n v="4.0666666666666664"/>
    <n v="4"/>
  </r>
  <r>
    <s v="E020"/>
    <s v="Irene Adler"/>
    <x v="2"/>
    <d v="2025-12-10T00:00:00"/>
    <m/>
    <n v="3100"/>
    <x v="0"/>
    <n v="3.7666666666666666"/>
    <n v="3"/>
  </r>
  <r>
    <s v="E021"/>
    <s v="Jorge Luis"/>
    <x v="0"/>
    <d v="2026-01-05T00:00:00"/>
    <m/>
    <n v="1900"/>
    <x v="0"/>
    <n v="2.9333333333333331"/>
    <n v="2"/>
  </r>
  <r>
    <s v="E022"/>
    <s v="Karen Page"/>
    <x v="3"/>
    <d v="2026-01-15T00:00:00"/>
    <m/>
    <n v="2000"/>
    <x v="0"/>
    <n v="2.6"/>
    <n v="2"/>
  </r>
  <r>
    <s v="E023"/>
    <s v="Liam Neeson"/>
    <x v="4"/>
    <d v="2026-01-20T00:00:00"/>
    <m/>
    <n v="2500"/>
    <x v="0"/>
    <n v="2.4333333333333331"/>
    <n v="2"/>
  </r>
  <r>
    <s v="E024"/>
    <s v="Mateo Cano"/>
    <x v="2"/>
    <d v="2026-02-01T00:00:00"/>
    <d v="2026-03-15T00:00:00"/>
    <n v="2750"/>
    <x v="1"/>
    <n v="2.0666666666666669"/>
    <n v="2"/>
  </r>
  <r>
    <s v="E025"/>
    <s v="Nora West"/>
    <x v="1"/>
    <d v="2026-02-10T00:00:00"/>
    <m/>
    <n v="2250"/>
    <x v="0"/>
    <n v="1.7666666666666666"/>
    <n v="1"/>
  </r>
  <r>
    <s v="E026"/>
    <s v="Oscar Wilde"/>
    <x v="0"/>
    <d v="2026-02-15T00:00:00"/>
    <m/>
    <n v="1850"/>
    <x v="0"/>
    <n v="1.6"/>
    <n v="1"/>
  </r>
  <r>
    <s v="E027"/>
    <s v="Paula Abdul"/>
    <x v="4"/>
    <d v="2026-03-01T00:00:00"/>
    <m/>
    <n v="2350"/>
    <x v="0"/>
    <n v="1.0666666666666667"/>
    <n v="1"/>
  </r>
  <r>
    <s v="E028"/>
    <s v="Quentin T."/>
    <x v="2"/>
    <d v="2026-03-05T00:00:00"/>
    <m/>
    <n v="3000"/>
    <x v="0"/>
    <n v="0.93333333333333335"/>
    <n v="0"/>
  </r>
  <r>
    <s v="E029"/>
    <s v="Ringo Starr"/>
    <x v="1"/>
    <d v="2026-03-10T00:00:00"/>
    <m/>
    <n v="2100"/>
    <x v="0"/>
    <n v="0.76666666666666672"/>
    <n v="0"/>
  </r>
  <r>
    <s v="E030"/>
    <s v="Sara Connor"/>
    <x v="3"/>
    <d v="2026-03-15T00:00:00"/>
    <m/>
    <n v="2100"/>
    <x v="0"/>
    <n v="0.6"/>
    <n v="0"/>
  </r>
  <r>
    <s v="E031"/>
    <s v="Esteban Lamothe"/>
    <x v="0"/>
    <d v="2025-03-01T00:00:00"/>
    <m/>
    <n v="1950"/>
    <x v="0"/>
    <n v="13.066666666666666"/>
    <n v="13"/>
  </r>
  <r>
    <s v="E032"/>
    <s v="Fito Páez"/>
    <x v="2"/>
    <d v="2025-03-12T00:00:00"/>
    <m/>
    <n v="3100"/>
    <x v="0"/>
    <n v="12.7"/>
    <n v="12"/>
  </r>
  <r>
    <s v="E033"/>
    <s v="Griselda Siciliani"/>
    <x v="1"/>
    <d v="2025-03-25T00:00:00"/>
    <m/>
    <n v="2350"/>
    <x v="0"/>
    <n v="12.266666666666667"/>
    <n v="12"/>
  </r>
  <r>
    <s v="E034"/>
    <s v="Horacio Pagani"/>
    <x v="4"/>
    <d v="2025-04-05T00:00:00"/>
    <d v="2026-01-15T00:00:00"/>
    <n v="2550"/>
    <x v="1"/>
    <n v="11.933333333333334"/>
    <n v="11"/>
  </r>
  <r>
    <s v="E035"/>
    <s v="Isabel Sarli"/>
    <x v="3"/>
    <d v="2025-04-20T00:00:00"/>
    <m/>
    <n v="2200"/>
    <x v="0"/>
    <n v="11.433333333333334"/>
    <n v="11"/>
  </r>
  <r>
    <s v="E036"/>
    <s v="Joaquín Sabina"/>
    <x v="2"/>
    <d v="2025-05-01T00:00:00"/>
    <m/>
    <n v="2850"/>
    <x v="0"/>
    <n v="11.066666666666666"/>
    <n v="11"/>
  </r>
  <r>
    <s v="E037"/>
    <s v="Kevin Johansen"/>
    <x v="0"/>
    <d v="2025-05-15T00:00:00"/>
    <m/>
    <n v="1800"/>
    <x v="0"/>
    <n v="10.6"/>
    <n v="10"/>
  </r>
  <r>
    <s v="E038"/>
    <s v="Lali Espósito"/>
    <x v="1"/>
    <d v="2025-06-02T00:00:00"/>
    <m/>
    <n v="2450"/>
    <x v="0"/>
    <n v="10.033333333333333"/>
    <n v="10"/>
  </r>
  <r>
    <s v="E039"/>
    <s v="Messi Lionel"/>
    <x v="2"/>
    <d v="2025-06-24T00:00:00"/>
    <m/>
    <n v="3500"/>
    <x v="0"/>
    <n v="9.3000000000000007"/>
    <n v="9"/>
  </r>
  <r>
    <s v="E040"/>
    <s v="Natalia Oreiro"/>
    <x v="3"/>
    <d v="2025-07-01T00:00:00"/>
    <m/>
    <n v="2100"/>
    <x v="0"/>
    <n v="9.0666666666666664"/>
    <n v="9"/>
  </r>
  <r>
    <s v="E041"/>
    <s v="Oscar Martínez"/>
    <x v="4"/>
    <d v="2025-07-15T00:00:00"/>
    <d v="2026-02-28T00:00:00"/>
    <n v="2700"/>
    <x v="0"/>
    <n v="8.6"/>
    <n v="8"/>
  </r>
  <r>
    <s v="E042"/>
    <s v="Peter Lanzani"/>
    <x v="0"/>
    <d v="2025-08-05T00:00:00"/>
    <m/>
    <n v="1900"/>
    <x v="0"/>
    <n v="7.9333333333333336"/>
    <n v="7"/>
  </r>
  <r>
    <s v="E043"/>
    <s v="Quino Mafalda"/>
    <x v="2"/>
    <d v="2025-08-20T00:00:00"/>
    <m/>
    <n v="2900"/>
    <x v="0"/>
    <n v="7.4333333333333336"/>
    <n v="7"/>
  </r>
  <r>
    <s v="E044"/>
    <s v="Ricardo Darín"/>
    <x v="1"/>
    <d v="2025-09-01T00:00:00"/>
    <m/>
    <n v="2600"/>
    <x v="0"/>
    <n v="7.0666666666666664"/>
    <n v="7"/>
  </r>
  <r>
    <s v="E045"/>
    <s v="Susana Giménez"/>
    <x v="3"/>
    <d v="2025-09-15T00:00:00"/>
    <m/>
    <n v="2300"/>
    <x v="0"/>
    <n v="6.6"/>
    <n v="6"/>
  </r>
  <r>
    <s v="E046"/>
    <s v="Tini Stoessel"/>
    <x v="0"/>
    <d v="2025-10-10T00:00:00"/>
    <m/>
    <n v="1850"/>
    <x v="0"/>
    <n v="5.7666666666666666"/>
    <n v="5"/>
  </r>
  <r>
    <s v="E047"/>
    <s v="Ulises Bueno"/>
    <x v="4"/>
    <d v="2025-11-05T00:00:00"/>
    <m/>
    <n v="2450"/>
    <x v="0"/>
    <n v="4.9333333333333336"/>
    <n v="4"/>
  </r>
  <r>
    <s v="E048"/>
    <s v="Viggo Mortensen"/>
    <x v="2"/>
    <d v="2025-11-20T00:00:00"/>
    <m/>
    <n v="3200"/>
    <x v="0"/>
    <n v="4.4333333333333336"/>
    <n v="4"/>
  </r>
  <r>
    <s v="E049"/>
    <s v="Wanda Nara"/>
    <x v="1"/>
    <d v="2025-12-01T00:00:00"/>
    <m/>
    <n v="2500"/>
    <x v="0"/>
    <n v="4.0666666666666664"/>
    <n v="4"/>
  </r>
  <r>
    <s v="E050"/>
    <s v="Zeta Bosio"/>
    <x v="4"/>
    <d v="2025-12-15T00:00:00"/>
    <m/>
    <n v="2550"/>
    <x v="0"/>
    <n v="3.6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B8C05-B7AE-4B26-8185-15964BB4DCBF}" name="TD_Resumen_Rotacion" cacheId="1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D10" firstHeaderRow="1" firstDataRow="2" firstDataCol="1"/>
  <pivotFields count="9">
    <pivotField dataField="1" compact="0" outline="0" showAll="0"/>
    <pivotField compact="0" outline="0" showAll="0"/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numFmtId="14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m="1" x="2"/>
        <item t="default"/>
      </items>
    </pivotField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Recuento de ID_Emp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B94447EA-84A6-447B-97E3-1ACCDE07C9DA}" sourceName="Departamento">
  <pivotTables>
    <pivotTable tabId="2" name="TD_Resumen_Rotacion"/>
  </pivotTables>
  <data>
    <tabular pivotCacheId="1742080081">
      <items count="5">
        <i x="4" s="1"/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529C1942-37C7-4E21-8D45-D2707631EB05}" sourceName="Estado">
  <pivotTables>
    <pivotTable tabId="2" name="TD_Resumen_Rotacion"/>
  </pivotTables>
  <data>
    <tabular pivotCacheId="1742080081">
      <items count="3">
        <i x="0" s="1"/>
        <i x="1" s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E5148FB3-C424-4638-A17B-706D79CEC41F}" cache="SegmentaciónDeDatos_Departamento" caption="Departamento" rowHeight="228600"/>
  <slicer name="Estado" xr10:uid="{DAD05E95-4272-4BF9-BDF0-4A6842D970A1}" cache="SegmentaciónDeDatos_Estado" caption="Estado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AC676-F0D3-4045-97AC-523BA45867F4}" name="Tbl_Personal" displayName="Tbl_Personal" ref="A1:J51" totalsRowShown="0" headerRowDxfId="5">
  <autoFilter ref="A1:J51" xr:uid="{ACAAC676-F0D3-4045-97AC-523BA45867F4}"/>
  <tableColumns count="10">
    <tableColumn id="1" xr3:uid="{0FFB211B-80D1-4E67-AB76-F7E88C436FE8}" name="ID_Emp"/>
    <tableColumn id="2" xr3:uid="{32A90379-FBC6-4BB1-8D80-8007E8F1C2F4}" name="Nombre" dataDxfId="4"/>
    <tableColumn id="10" xr3:uid="{2096212D-699B-4E76-8684-1159EDE749A0}" name="Genero" dataDxfId="3"/>
    <tableColumn id="3" xr3:uid="{DF081E04-697F-4493-ACA5-31DC1B975475}" name="Departamento"/>
    <tableColumn id="4" xr3:uid="{B7D05936-D82E-4E7A-80AE-B3A1662B7DD9}" name="Fecha_Ingreso" dataDxfId="2"/>
    <tableColumn id="5" xr3:uid="{95B99AFF-848A-46C9-ADE1-58047E863D2D}" name="Fecha_Egreso"/>
    <tableColumn id="6" xr3:uid="{303F1EA9-A1A9-401D-B079-1EE8460B3A35}" name="Salario"/>
    <tableColumn id="7" xr3:uid="{DEFF9A47-6CBB-492F-9491-10C83131F2C7}" name="Estado"/>
    <tableColumn id="8" xr3:uid="{0CF687CA-8DA0-4684-9D1F-63C8EC20CBD9}" name=" Antigüedad formula" dataDxfId="1">
      <calculatedColumnFormula>(DAYS360(E2,TODAY()))/30</calculatedColumnFormula>
    </tableColumn>
    <tableColumn id="9" xr3:uid="{F5AFC3F4-BCA5-407E-8ABF-84D65D63C0FB}" name="Antigüedad" dataDxfId="0">
      <calculatedColumnFormula>ROUNDDOWN(I2,0)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38C5-F1DE-4C72-B4D8-D5692DD5A1E3}">
  <dimension ref="A1:L10"/>
  <sheetViews>
    <sheetView showGridLines="0" workbookViewId="0">
      <selection activeCell="C13" sqref="C13"/>
    </sheetView>
  </sheetViews>
  <sheetFormatPr defaultRowHeight="15"/>
  <cols>
    <col min="1" max="1" width="19.42578125" customWidth="1"/>
    <col min="2" max="2" width="10" bestFit="1" customWidth="1"/>
    <col min="3" max="3" width="8" bestFit="1" customWidth="1"/>
    <col min="4" max="5" width="12.5703125" bestFit="1" customWidth="1"/>
    <col min="12" max="12" width="15.140625" bestFit="1" customWidth="1"/>
  </cols>
  <sheetData>
    <row r="1" spans="1:12">
      <c r="E1" s="12" t="s">
        <v>0</v>
      </c>
      <c r="F1" s="13"/>
      <c r="G1" s="13"/>
      <c r="H1" s="13"/>
      <c r="I1" s="13"/>
      <c r="J1" s="13"/>
      <c r="K1" s="13"/>
      <c r="L1" s="14">
        <f>C10</f>
        <v>0.14000000000000001</v>
      </c>
    </row>
    <row r="2" spans="1:12">
      <c r="E2" s="13"/>
      <c r="F2" s="13"/>
      <c r="G2" s="13"/>
      <c r="H2" s="13"/>
      <c r="I2" s="13"/>
      <c r="J2" s="13"/>
      <c r="K2" s="13"/>
      <c r="L2" s="15"/>
    </row>
    <row r="3" spans="1:12">
      <c r="A3" s="8" t="s">
        <v>1</v>
      </c>
      <c r="B3" s="8" t="s">
        <v>2</v>
      </c>
    </row>
    <row r="4" spans="1:12">
      <c r="A4" s="8" t="s">
        <v>3</v>
      </c>
      <c r="B4" t="s">
        <v>4</v>
      </c>
      <c r="C4" t="s">
        <v>5</v>
      </c>
      <c r="D4" t="s">
        <v>6</v>
      </c>
    </row>
    <row r="5" spans="1:12">
      <c r="A5" t="s">
        <v>7</v>
      </c>
      <c r="B5" s="10">
        <v>0.9</v>
      </c>
      <c r="C5" s="10">
        <v>0.1</v>
      </c>
      <c r="D5" s="10">
        <v>1</v>
      </c>
    </row>
    <row r="6" spans="1:12">
      <c r="A6" t="s">
        <v>8</v>
      </c>
      <c r="B6" s="10">
        <v>0.83333333333333337</v>
      </c>
      <c r="C6" s="10">
        <v>0.16666666666666666</v>
      </c>
      <c r="D6" s="10">
        <v>1</v>
      </c>
    </row>
    <row r="7" spans="1:12">
      <c r="A7" t="s">
        <v>9</v>
      </c>
      <c r="B7" s="10">
        <v>0.9</v>
      </c>
      <c r="C7" s="10">
        <v>0.1</v>
      </c>
      <c r="D7" s="10">
        <v>1</v>
      </c>
    </row>
    <row r="8" spans="1:12">
      <c r="A8" t="s">
        <v>10</v>
      </c>
      <c r="B8" s="10">
        <v>0.875</v>
      </c>
      <c r="C8" s="10">
        <v>0.125</v>
      </c>
      <c r="D8" s="10">
        <v>1</v>
      </c>
    </row>
    <row r="9" spans="1:12">
      <c r="A9" t="s">
        <v>11</v>
      </c>
      <c r="B9" s="10">
        <v>0.8</v>
      </c>
      <c r="C9" s="10">
        <v>0.2</v>
      </c>
      <c r="D9" s="10">
        <v>1</v>
      </c>
    </row>
    <row r="10" spans="1:12">
      <c r="A10" t="s">
        <v>6</v>
      </c>
      <c r="B10" s="10">
        <v>0.86</v>
      </c>
      <c r="C10" s="10">
        <v>0.14000000000000001</v>
      </c>
      <c r="D10" s="10">
        <v>1</v>
      </c>
    </row>
  </sheetData>
  <mergeCells count="2">
    <mergeCell ref="E1:K2"/>
    <mergeCell ref="L1:L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K52"/>
  <sheetViews>
    <sheetView tabSelected="1" topLeftCell="A29" workbookViewId="0">
      <selection activeCell="C51" sqref="C51"/>
    </sheetView>
  </sheetViews>
  <sheetFormatPr defaultColWidth="11.42578125" defaultRowHeight="15"/>
  <cols>
    <col min="2" max="2" width="16.5703125" style="3" bestFit="1" customWidth="1"/>
    <col min="3" max="3" width="16.5703125" style="3" customWidth="1"/>
    <col min="4" max="4" width="18.5703125" bestFit="1" customWidth="1"/>
    <col min="5" max="5" width="16.5703125" bestFit="1" customWidth="1"/>
    <col min="6" max="6" width="16" bestFit="1" customWidth="1"/>
    <col min="8" max="8" width="16.5703125" customWidth="1"/>
    <col min="9" max="9" width="5.7109375" hidden="1" customWidth="1"/>
    <col min="10" max="10" width="13.85546875" customWidth="1"/>
    <col min="11" max="11" width="11" customWidth="1"/>
  </cols>
  <sheetData>
    <row r="1" spans="1:11" ht="16.5" customHeight="1">
      <c r="A1" s="1" t="s">
        <v>12</v>
      </c>
      <c r="B1" s="2" t="s">
        <v>13</v>
      </c>
      <c r="C1" s="2" t="s">
        <v>14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2</v>
      </c>
      <c r="I1" s="7" t="s">
        <v>18</v>
      </c>
      <c r="J1" s="1" t="s">
        <v>19</v>
      </c>
      <c r="K1" s="1"/>
    </row>
    <row r="2" spans="1:11" ht="16.5" customHeight="1">
      <c r="A2" t="s">
        <v>20</v>
      </c>
      <c r="B2" t="s">
        <v>21</v>
      </c>
      <c r="C2" t="s">
        <v>22</v>
      </c>
      <c r="D2" t="s">
        <v>11</v>
      </c>
      <c r="E2" s="5">
        <v>45424</v>
      </c>
      <c r="F2" s="1"/>
      <c r="G2">
        <v>1900</v>
      </c>
      <c r="H2" t="s">
        <v>4</v>
      </c>
      <c r="I2" s="6">
        <f t="shared" ref="I2:I52" ca="1" si="0">(DAYS360(E2,TODAY()))/30</f>
        <v>22.766666666666666</v>
      </c>
      <c r="J2" s="9">
        <f t="shared" ref="J2:J51" ca="1" si="1">ROUNDDOWN(I2,0)</f>
        <v>22</v>
      </c>
      <c r="K2" s="1"/>
    </row>
    <row r="3" spans="1:11" ht="16.5" customHeight="1">
      <c r="A3" t="s">
        <v>23</v>
      </c>
      <c r="B3" t="s">
        <v>24</v>
      </c>
      <c r="C3" t="s">
        <v>25</v>
      </c>
      <c r="D3" t="s">
        <v>9</v>
      </c>
      <c r="E3" s="5">
        <v>45461</v>
      </c>
      <c r="F3" s="5">
        <v>46027</v>
      </c>
      <c r="G3">
        <v>2300</v>
      </c>
      <c r="H3" t="s">
        <v>5</v>
      </c>
      <c r="I3" s="6">
        <f t="shared" ca="1" si="0"/>
        <v>21.566666666666666</v>
      </c>
      <c r="J3" s="9">
        <f t="shared" ca="1" si="1"/>
        <v>21</v>
      </c>
      <c r="K3" s="1"/>
    </row>
    <row r="4" spans="1:11" ht="16.5" customHeight="1">
      <c r="A4" t="s">
        <v>26</v>
      </c>
      <c r="B4" t="s">
        <v>27</v>
      </c>
      <c r="C4" t="s">
        <v>22</v>
      </c>
      <c r="D4" t="s">
        <v>8</v>
      </c>
      <c r="E4" s="5">
        <v>45495</v>
      </c>
      <c r="F4" s="5"/>
      <c r="G4">
        <v>3200</v>
      </c>
      <c r="H4" t="s">
        <v>4</v>
      </c>
      <c r="I4" s="6">
        <f t="shared" ca="1" si="0"/>
        <v>20.433333333333334</v>
      </c>
      <c r="J4" s="9">
        <f t="shared" ca="1" si="1"/>
        <v>20</v>
      </c>
      <c r="K4" s="1"/>
    </row>
    <row r="5" spans="1:11" ht="16.5" customHeight="1">
      <c r="A5" t="s">
        <v>28</v>
      </c>
      <c r="B5" t="s">
        <v>29</v>
      </c>
      <c r="C5" t="s">
        <v>25</v>
      </c>
      <c r="D5" t="s">
        <v>10</v>
      </c>
      <c r="E5" s="5">
        <v>45505</v>
      </c>
      <c r="F5" s="5"/>
      <c r="G5">
        <v>2150</v>
      </c>
      <c r="H5" t="s">
        <v>4</v>
      </c>
      <c r="I5" s="6">
        <f t="shared" ca="1" si="0"/>
        <v>20.133333333333333</v>
      </c>
      <c r="J5" s="9">
        <f t="shared" ca="1" si="1"/>
        <v>20</v>
      </c>
      <c r="K5" s="1"/>
    </row>
    <row r="6" spans="1:11" ht="16.5" customHeight="1">
      <c r="A6" t="s">
        <v>30</v>
      </c>
      <c r="B6" t="s">
        <v>31</v>
      </c>
      <c r="C6" t="s">
        <v>22</v>
      </c>
      <c r="D6" t="s">
        <v>7</v>
      </c>
      <c r="E6" s="5">
        <v>45550</v>
      </c>
      <c r="F6" s="5"/>
      <c r="G6">
        <v>2600</v>
      </c>
      <c r="H6" t="s">
        <v>4</v>
      </c>
      <c r="I6" s="6">
        <f t="shared" ca="1" si="0"/>
        <v>18.666666666666668</v>
      </c>
      <c r="J6" s="9">
        <f t="shared" ca="1" si="1"/>
        <v>18</v>
      </c>
      <c r="K6" s="1"/>
    </row>
    <row r="7" spans="1:11" ht="16.5" customHeight="1">
      <c r="A7" t="s">
        <v>32</v>
      </c>
      <c r="B7" t="s">
        <v>33</v>
      </c>
      <c r="C7" t="s">
        <v>25</v>
      </c>
      <c r="D7" t="s">
        <v>11</v>
      </c>
      <c r="E7" s="5">
        <v>45575</v>
      </c>
      <c r="F7" s="5">
        <v>46101</v>
      </c>
      <c r="G7">
        <v>1850</v>
      </c>
      <c r="H7" t="s">
        <v>5</v>
      </c>
      <c r="I7" s="6">
        <f t="shared" ca="1" si="0"/>
        <v>17.833333333333332</v>
      </c>
      <c r="J7" s="9">
        <f t="shared" ca="1" si="1"/>
        <v>17</v>
      </c>
      <c r="K7" s="1"/>
    </row>
    <row r="8" spans="1:11" ht="16.5" customHeight="1">
      <c r="A8" t="s">
        <v>34</v>
      </c>
      <c r="B8" t="s">
        <v>35</v>
      </c>
      <c r="C8" t="s">
        <v>22</v>
      </c>
      <c r="D8" t="s">
        <v>8</v>
      </c>
      <c r="E8" s="5">
        <v>45601</v>
      </c>
      <c r="F8" s="5"/>
      <c r="G8">
        <v>2950</v>
      </c>
      <c r="H8" t="s">
        <v>4</v>
      </c>
      <c r="I8" s="6">
        <f t="shared" ca="1" si="0"/>
        <v>17</v>
      </c>
      <c r="J8" s="9">
        <f t="shared" ca="1" si="1"/>
        <v>17</v>
      </c>
      <c r="K8" s="1"/>
    </row>
    <row r="9" spans="1:11" ht="16.5" customHeight="1">
      <c r="A9" t="s">
        <v>36</v>
      </c>
      <c r="B9" t="s">
        <v>37</v>
      </c>
      <c r="C9" t="s">
        <v>25</v>
      </c>
      <c r="D9" t="s">
        <v>9</v>
      </c>
      <c r="E9" s="5">
        <v>45646</v>
      </c>
      <c r="F9" s="1"/>
      <c r="G9">
        <v>2250</v>
      </c>
      <c r="H9" t="s">
        <v>4</v>
      </c>
      <c r="I9" s="6">
        <f t="shared" ca="1" si="0"/>
        <v>15.5</v>
      </c>
      <c r="J9" s="9">
        <f t="shared" ca="1" si="1"/>
        <v>15</v>
      </c>
      <c r="K9" s="1"/>
    </row>
    <row r="10" spans="1:11" ht="16.5" customHeight="1">
      <c r="A10" t="s">
        <v>38</v>
      </c>
      <c r="B10" t="s">
        <v>39</v>
      </c>
      <c r="C10" t="s">
        <v>22</v>
      </c>
      <c r="D10" t="s">
        <v>7</v>
      </c>
      <c r="E10" s="5">
        <v>45667</v>
      </c>
      <c r="F10" s="1"/>
      <c r="G10">
        <v>2400</v>
      </c>
      <c r="H10" t="s">
        <v>4</v>
      </c>
      <c r="I10" s="6">
        <f t="shared" ca="1" si="0"/>
        <v>14.833333333333334</v>
      </c>
      <c r="J10" s="9">
        <f t="shared" ca="1" si="1"/>
        <v>14</v>
      </c>
      <c r="K10" s="1"/>
    </row>
    <row r="11" spans="1:11" ht="16.5" customHeight="1">
      <c r="A11" t="s">
        <v>40</v>
      </c>
      <c r="B11" t="s">
        <v>41</v>
      </c>
      <c r="C11" t="s">
        <v>25</v>
      </c>
      <c r="D11" t="s">
        <v>10</v>
      </c>
      <c r="E11" s="5">
        <v>45703</v>
      </c>
      <c r="F11" s="5">
        <v>46063</v>
      </c>
      <c r="G11">
        <v>2100</v>
      </c>
      <c r="H11" t="s">
        <v>5</v>
      </c>
      <c r="I11" s="6">
        <f t="shared" ca="1" si="0"/>
        <v>13.666666666666666</v>
      </c>
      <c r="J11" s="9">
        <f t="shared" ca="1" si="1"/>
        <v>13</v>
      </c>
      <c r="K11" s="1"/>
    </row>
    <row r="12" spans="1:11">
      <c r="A12" t="s">
        <v>42</v>
      </c>
      <c r="B12" s="16" t="s">
        <v>43</v>
      </c>
      <c r="C12" t="s">
        <v>22</v>
      </c>
      <c r="D12" t="s">
        <v>11</v>
      </c>
      <c r="E12" s="5">
        <v>45879</v>
      </c>
      <c r="G12">
        <v>1850</v>
      </c>
      <c r="H12" t="s">
        <v>4</v>
      </c>
      <c r="I12" s="6">
        <f t="shared" ca="1" si="0"/>
        <v>7.833333333333333</v>
      </c>
      <c r="J12" s="9">
        <f t="shared" ca="1" si="1"/>
        <v>7</v>
      </c>
    </row>
    <row r="13" spans="1:11">
      <c r="A13" t="s">
        <v>44</v>
      </c>
      <c r="B13" s="4" t="s">
        <v>45</v>
      </c>
      <c r="C13" t="s">
        <v>25</v>
      </c>
      <c r="D13" t="s">
        <v>8</v>
      </c>
      <c r="E13" s="5">
        <v>45901</v>
      </c>
      <c r="F13" s="5">
        <v>46086</v>
      </c>
      <c r="G13">
        <v>2800</v>
      </c>
      <c r="H13" t="s">
        <v>5</v>
      </c>
      <c r="I13" s="6">
        <f t="shared" ca="1" si="0"/>
        <v>7.1333333333333337</v>
      </c>
      <c r="J13" s="9">
        <f t="shared" ca="1" si="1"/>
        <v>7</v>
      </c>
    </row>
    <row r="14" spans="1:11">
      <c r="A14" t="s">
        <v>46</v>
      </c>
      <c r="B14" s="16" t="s">
        <v>47</v>
      </c>
      <c r="C14" t="s">
        <v>22</v>
      </c>
      <c r="D14" t="s">
        <v>7</v>
      </c>
      <c r="E14" s="5">
        <v>45915</v>
      </c>
      <c r="G14">
        <v>2400</v>
      </c>
      <c r="H14" t="s">
        <v>4</v>
      </c>
      <c r="I14" s="6">
        <f t="shared" ca="1" si="0"/>
        <v>6.666666666666667</v>
      </c>
      <c r="J14" s="9">
        <f t="shared" ca="1" si="1"/>
        <v>6</v>
      </c>
    </row>
    <row r="15" spans="1:11">
      <c r="A15" t="s">
        <v>48</v>
      </c>
      <c r="B15" s="4" t="s">
        <v>49</v>
      </c>
      <c r="C15" t="s">
        <v>25</v>
      </c>
      <c r="D15" t="s">
        <v>9</v>
      </c>
      <c r="E15" s="5">
        <v>45920</v>
      </c>
      <c r="G15">
        <v>2150</v>
      </c>
      <c r="H15" t="s">
        <v>4</v>
      </c>
      <c r="I15" s="6">
        <f t="shared" ca="1" si="0"/>
        <v>6.5</v>
      </c>
      <c r="J15" s="9">
        <f t="shared" ca="1" si="1"/>
        <v>6</v>
      </c>
    </row>
    <row r="16" spans="1:11">
      <c r="A16" t="s">
        <v>50</v>
      </c>
      <c r="B16" s="16" t="s">
        <v>51</v>
      </c>
      <c r="C16" t="s">
        <v>22</v>
      </c>
      <c r="D16" t="s">
        <v>8</v>
      </c>
      <c r="E16" s="5">
        <v>45935</v>
      </c>
      <c r="G16">
        <v>2900</v>
      </c>
      <c r="H16" t="s">
        <v>4</v>
      </c>
      <c r="I16" s="6">
        <f t="shared" ca="1" si="0"/>
        <v>6</v>
      </c>
      <c r="J16" s="9">
        <f t="shared" ca="1" si="1"/>
        <v>6</v>
      </c>
    </row>
    <row r="17" spans="1:10">
      <c r="A17" t="s">
        <v>52</v>
      </c>
      <c r="B17" s="16" t="s">
        <v>53</v>
      </c>
      <c r="C17" t="s">
        <v>25</v>
      </c>
      <c r="D17" t="s">
        <v>10</v>
      </c>
      <c r="E17" s="5">
        <v>45942</v>
      </c>
      <c r="G17">
        <v>2050</v>
      </c>
      <c r="H17" t="s">
        <v>4</v>
      </c>
      <c r="I17" s="6">
        <f t="shared" ca="1" si="0"/>
        <v>5.7666666666666666</v>
      </c>
      <c r="J17" s="9">
        <f t="shared" ca="1" si="1"/>
        <v>5</v>
      </c>
    </row>
    <row r="18" spans="1:10">
      <c r="A18" t="s">
        <v>54</v>
      </c>
      <c r="B18" s="16" t="s">
        <v>55</v>
      </c>
      <c r="C18" t="s">
        <v>22</v>
      </c>
      <c r="D18" t="s">
        <v>11</v>
      </c>
      <c r="E18" s="5">
        <v>45962</v>
      </c>
      <c r="F18" s="5">
        <v>46081</v>
      </c>
      <c r="G18">
        <v>1800</v>
      </c>
      <c r="H18" t="s">
        <v>5</v>
      </c>
      <c r="I18" s="6">
        <f t="shared" ca="1" si="0"/>
        <v>5.1333333333333337</v>
      </c>
      <c r="J18" s="9">
        <f t="shared" ca="1" si="1"/>
        <v>5</v>
      </c>
    </row>
    <row r="19" spans="1:10">
      <c r="A19" t="s">
        <v>56</v>
      </c>
      <c r="B19" s="16" t="s">
        <v>57</v>
      </c>
      <c r="C19" t="s">
        <v>25</v>
      </c>
      <c r="D19" t="s">
        <v>7</v>
      </c>
      <c r="E19" s="5">
        <v>45976</v>
      </c>
      <c r="G19">
        <v>2450</v>
      </c>
      <c r="H19" t="s">
        <v>4</v>
      </c>
      <c r="I19" s="6">
        <f t="shared" ca="1" si="0"/>
        <v>4.666666666666667</v>
      </c>
      <c r="J19" s="9">
        <f t="shared" ca="1" si="1"/>
        <v>4</v>
      </c>
    </row>
    <row r="20" spans="1:10">
      <c r="A20" t="s">
        <v>58</v>
      </c>
      <c r="B20" s="16" t="s">
        <v>59</v>
      </c>
      <c r="C20" t="s">
        <v>22</v>
      </c>
      <c r="D20" t="s">
        <v>9</v>
      </c>
      <c r="E20" s="5">
        <v>45992</v>
      </c>
      <c r="G20">
        <v>2100</v>
      </c>
      <c r="H20" t="s">
        <v>4</v>
      </c>
      <c r="I20" s="6">
        <f t="shared" ca="1" si="0"/>
        <v>4.1333333333333337</v>
      </c>
      <c r="J20" s="9">
        <f t="shared" ca="1" si="1"/>
        <v>4</v>
      </c>
    </row>
    <row r="21" spans="1:10">
      <c r="A21" t="s">
        <v>60</v>
      </c>
      <c r="B21" s="16" t="s">
        <v>61</v>
      </c>
      <c r="C21" t="s">
        <v>25</v>
      </c>
      <c r="D21" t="s">
        <v>8</v>
      </c>
      <c r="E21" s="5">
        <v>46001</v>
      </c>
      <c r="G21">
        <v>3100</v>
      </c>
      <c r="H21" t="s">
        <v>4</v>
      </c>
      <c r="I21" s="6">
        <f t="shared" ca="1" si="0"/>
        <v>3.8333333333333335</v>
      </c>
      <c r="J21" s="9">
        <f t="shared" ca="1" si="1"/>
        <v>3</v>
      </c>
    </row>
    <row r="22" spans="1:10">
      <c r="A22" t="s">
        <v>62</v>
      </c>
      <c r="B22" s="16" t="s">
        <v>63</v>
      </c>
      <c r="C22" t="s">
        <v>22</v>
      </c>
      <c r="D22" t="s">
        <v>11</v>
      </c>
      <c r="E22" s="5">
        <v>46027</v>
      </c>
      <c r="G22">
        <v>1900</v>
      </c>
      <c r="H22" t="s">
        <v>4</v>
      </c>
      <c r="I22" s="6">
        <f t="shared" ca="1" si="0"/>
        <v>3</v>
      </c>
      <c r="J22" s="9">
        <f t="shared" ca="1" si="1"/>
        <v>3</v>
      </c>
    </row>
    <row r="23" spans="1:10">
      <c r="A23" t="s">
        <v>64</v>
      </c>
      <c r="B23" s="16" t="s">
        <v>65</v>
      </c>
      <c r="C23" t="s">
        <v>25</v>
      </c>
      <c r="D23" t="s">
        <v>10</v>
      </c>
      <c r="E23" s="5">
        <v>46037</v>
      </c>
      <c r="G23">
        <v>2000</v>
      </c>
      <c r="H23" t="s">
        <v>4</v>
      </c>
      <c r="I23" s="6">
        <f t="shared" ca="1" si="0"/>
        <v>2.6666666666666665</v>
      </c>
      <c r="J23" s="9">
        <f t="shared" ca="1" si="1"/>
        <v>2</v>
      </c>
    </row>
    <row r="24" spans="1:10">
      <c r="A24" t="s">
        <v>66</v>
      </c>
      <c r="B24" s="16" t="s">
        <v>67</v>
      </c>
      <c r="C24" t="s">
        <v>22</v>
      </c>
      <c r="D24" t="s">
        <v>7</v>
      </c>
      <c r="E24" s="5">
        <v>46042</v>
      </c>
      <c r="G24">
        <v>2500</v>
      </c>
      <c r="H24" t="s">
        <v>4</v>
      </c>
      <c r="I24" s="6">
        <f t="shared" ca="1" si="0"/>
        <v>2.5</v>
      </c>
      <c r="J24" s="9">
        <f t="shared" ca="1" si="1"/>
        <v>2</v>
      </c>
    </row>
    <row r="25" spans="1:10">
      <c r="A25" t="s">
        <v>68</v>
      </c>
      <c r="B25" s="16" t="s">
        <v>69</v>
      </c>
      <c r="C25" t="s">
        <v>22</v>
      </c>
      <c r="D25" t="s">
        <v>8</v>
      </c>
      <c r="E25" s="5">
        <v>46054</v>
      </c>
      <c r="F25" s="5">
        <v>46096</v>
      </c>
      <c r="G25">
        <v>2750</v>
      </c>
      <c r="H25" t="s">
        <v>5</v>
      </c>
      <c r="I25" s="6">
        <f t="shared" ca="1" si="0"/>
        <v>2.1333333333333333</v>
      </c>
      <c r="J25" s="9">
        <f t="shared" ca="1" si="1"/>
        <v>2</v>
      </c>
    </row>
    <row r="26" spans="1:10">
      <c r="A26" t="s">
        <v>70</v>
      </c>
      <c r="B26" s="16" t="s">
        <v>71</v>
      </c>
      <c r="C26" t="s">
        <v>25</v>
      </c>
      <c r="D26" t="s">
        <v>9</v>
      </c>
      <c r="E26" s="5">
        <v>46063</v>
      </c>
      <c r="G26">
        <v>2250</v>
      </c>
      <c r="H26" t="s">
        <v>4</v>
      </c>
      <c r="I26" s="6">
        <f t="shared" ca="1" si="0"/>
        <v>1.8333333333333333</v>
      </c>
      <c r="J26" s="9">
        <f t="shared" ca="1" si="1"/>
        <v>1</v>
      </c>
    </row>
    <row r="27" spans="1:10">
      <c r="A27" t="s">
        <v>72</v>
      </c>
      <c r="B27" s="16" t="s">
        <v>73</v>
      </c>
      <c r="C27" t="s">
        <v>22</v>
      </c>
      <c r="D27" t="s">
        <v>11</v>
      </c>
      <c r="E27" s="5">
        <v>46068</v>
      </c>
      <c r="G27">
        <v>1850</v>
      </c>
      <c r="H27" t="s">
        <v>4</v>
      </c>
      <c r="I27" s="6">
        <f t="shared" ca="1" si="0"/>
        <v>1.6666666666666667</v>
      </c>
      <c r="J27" s="9">
        <f t="shared" ca="1" si="1"/>
        <v>1</v>
      </c>
    </row>
    <row r="28" spans="1:10">
      <c r="A28" t="s">
        <v>74</v>
      </c>
      <c r="B28" s="16" t="s">
        <v>75</v>
      </c>
      <c r="C28" t="s">
        <v>25</v>
      </c>
      <c r="D28" t="s">
        <v>7</v>
      </c>
      <c r="E28" s="5">
        <v>46082</v>
      </c>
      <c r="G28">
        <v>2350</v>
      </c>
      <c r="H28" t="s">
        <v>4</v>
      </c>
      <c r="I28" s="6">
        <f t="shared" ca="1" si="0"/>
        <v>1.1333333333333333</v>
      </c>
      <c r="J28" s="9">
        <f t="shared" ca="1" si="1"/>
        <v>1</v>
      </c>
    </row>
    <row r="29" spans="1:10">
      <c r="A29" t="s">
        <v>76</v>
      </c>
      <c r="B29" s="16" t="s">
        <v>77</v>
      </c>
      <c r="C29" t="s">
        <v>22</v>
      </c>
      <c r="D29" t="s">
        <v>8</v>
      </c>
      <c r="E29" s="5">
        <v>46086</v>
      </c>
      <c r="G29">
        <v>3000</v>
      </c>
      <c r="H29" t="s">
        <v>4</v>
      </c>
      <c r="I29" s="6">
        <f t="shared" ca="1" si="0"/>
        <v>1</v>
      </c>
      <c r="J29" s="9">
        <f t="shared" ca="1" si="1"/>
        <v>1</v>
      </c>
    </row>
    <row r="30" spans="1:10">
      <c r="A30" t="s">
        <v>78</v>
      </c>
      <c r="B30" s="16" t="s">
        <v>79</v>
      </c>
      <c r="C30" t="s">
        <v>22</v>
      </c>
      <c r="D30" t="s">
        <v>9</v>
      </c>
      <c r="E30" s="5">
        <v>46091</v>
      </c>
      <c r="G30">
        <v>2100</v>
      </c>
      <c r="H30" t="s">
        <v>4</v>
      </c>
      <c r="I30" s="6">
        <f t="shared" ca="1" si="0"/>
        <v>0.83333333333333337</v>
      </c>
      <c r="J30" s="9">
        <f t="shared" ca="1" si="1"/>
        <v>0</v>
      </c>
    </row>
    <row r="31" spans="1:10">
      <c r="A31" t="s">
        <v>80</v>
      </c>
      <c r="B31" s="16" t="s">
        <v>81</v>
      </c>
      <c r="C31" t="s">
        <v>25</v>
      </c>
      <c r="D31" t="s">
        <v>10</v>
      </c>
      <c r="E31" s="5">
        <v>46096</v>
      </c>
      <c r="G31">
        <v>2100</v>
      </c>
      <c r="H31" t="s">
        <v>4</v>
      </c>
      <c r="I31" s="6">
        <f t="shared" ca="1" si="0"/>
        <v>0.66666666666666663</v>
      </c>
      <c r="J31" s="9">
        <f t="shared" ca="1" si="1"/>
        <v>0</v>
      </c>
    </row>
    <row r="32" spans="1:10">
      <c r="A32" t="s">
        <v>82</v>
      </c>
      <c r="B32" s="16" t="s">
        <v>83</v>
      </c>
      <c r="C32" t="s">
        <v>22</v>
      </c>
      <c r="D32" t="s">
        <v>11</v>
      </c>
      <c r="E32" s="5">
        <v>45717</v>
      </c>
      <c r="G32">
        <v>1950</v>
      </c>
      <c r="H32" t="s">
        <v>4</v>
      </c>
      <c r="I32" s="6">
        <f t="shared" ca="1" si="0"/>
        <v>13.133333333333333</v>
      </c>
      <c r="J32" s="9">
        <f t="shared" ca="1" si="1"/>
        <v>13</v>
      </c>
    </row>
    <row r="33" spans="1:10">
      <c r="A33" t="s">
        <v>84</v>
      </c>
      <c r="B33" s="16" t="s">
        <v>85</v>
      </c>
      <c r="C33" t="s">
        <v>22</v>
      </c>
      <c r="D33" t="s">
        <v>8</v>
      </c>
      <c r="E33" s="5">
        <v>45728</v>
      </c>
      <c r="G33">
        <v>3100</v>
      </c>
      <c r="H33" t="s">
        <v>4</v>
      </c>
      <c r="I33" s="6">
        <f t="shared" ca="1" si="0"/>
        <v>12.766666666666667</v>
      </c>
      <c r="J33" s="9">
        <f t="shared" ca="1" si="1"/>
        <v>12</v>
      </c>
    </row>
    <row r="34" spans="1:10">
      <c r="A34" t="s">
        <v>86</v>
      </c>
      <c r="B34" s="16" t="s">
        <v>87</v>
      </c>
      <c r="C34" t="s">
        <v>25</v>
      </c>
      <c r="D34" t="s">
        <v>9</v>
      </c>
      <c r="E34" s="5">
        <v>45741</v>
      </c>
      <c r="G34">
        <v>2350</v>
      </c>
      <c r="H34" t="s">
        <v>4</v>
      </c>
      <c r="I34" s="6">
        <f t="shared" ca="1" si="0"/>
        <v>12.333333333333334</v>
      </c>
      <c r="J34" s="9">
        <f t="shared" ca="1" si="1"/>
        <v>12</v>
      </c>
    </row>
    <row r="35" spans="1:10">
      <c r="A35" t="s">
        <v>88</v>
      </c>
      <c r="B35" s="16" t="s">
        <v>89</v>
      </c>
      <c r="C35" t="s">
        <v>22</v>
      </c>
      <c r="D35" t="s">
        <v>7</v>
      </c>
      <c r="E35" s="5">
        <v>45752</v>
      </c>
      <c r="F35" s="5">
        <v>46037</v>
      </c>
      <c r="G35">
        <v>2550</v>
      </c>
      <c r="H35" t="s">
        <v>5</v>
      </c>
      <c r="I35" s="6">
        <f t="shared" ca="1" si="0"/>
        <v>12</v>
      </c>
      <c r="J35" s="9">
        <f t="shared" ca="1" si="1"/>
        <v>12</v>
      </c>
    </row>
    <row r="36" spans="1:10">
      <c r="A36" t="s">
        <v>90</v>
      </c>
      <c r="B36" s="16" t="s">
        <v>91</v>
      </c>
      <c r="C36" t="s">
        <v>25</v>
      </c>
      <c r="D36" t="s">
        <v>10</v>
      </c>
      <c r="E36" s="5">
        <v>45767</v>
      </c>
      <c r="G36">
        <v>2200</v>
      </c>
      <c r="H36" t="s">
        <v>4</v>
      </c>
      <c r="I36" s="6">
        <f t="shared" ca="1" si="0"/>
        <v>11.5</v>
      </c>
      <c r="J36" s="9">
        <f t="shared" ca="1" si="1"/>
        <v>11</v>
      </c>
    </row>
    <row r="37" spans="1:10">
      <c r="A37" t="s">
        <v>92</v>
      </c>
      <c r="B37" s="16" t="s">
        <v>93</v>
      </c>
      <c r="C37" t="s">
        <v>22</v>
      </c>
      <c r="D37" t="s">
        <v>8</v>
      </c>
      <c r="E37" s="5">
        <v>45778</v>
      </c>
      <c r="G37">
        <v>2850</v>
      </c>
      <c r="H37" t="s">
        <v>4</v>
      </c>
      <c r="I37" s="6">
        <f t="shared" ca="1" si="0"/>
        <v>11.133333333333333</v>
      </c>
      <c r="J37" s="9">
        <f t="shared" ca="1" si="1"/>
        <v>11</v>
      </c>
    </row>
    <row r="38" spans="1:10">
      <c r="A38" t="s">
        <v>94</v>
      </c>
      <c r="B38" s="16" t="s">
        <v>95</v>
      </c>
      <c r="C38" t="s">
        <v>22</v>
      </c>
      <c r="D38" t="s">
        <v>11</v>
      </c>
      <c r="E38" s="5">
        <v>45792</v>
      </c>
      <c r="G38">
        <v>1800</v>
      </c>
      <c r="H38" t="s">
        <v>4</v>
      </c>
      <c r="I38" s="6">
        <f t="shared" ca="1" si="0"/>
        <v>10.666666666666666</v>
      </c>
      <c r="J38" s="9">
        <f t="shared" ca="1" si="1"/>
        <v>10</v>
      </c>
    </row>
    <row r="39" spans="1:10">
      <c r="A39" t="s">
        <v>96</v>
      </c>
      <c r="B39" s="16" t="s">
        <v>97</v>
      </c>
      <c r="C39" t="s">
        <v>25</v>
      </c>
      <c r="D39" t="s">
        <v>9</v>
      </c>
      <c r="E39" s="5">
        <v>45810</v>
      </c>
      <c r="G39">
        <v>2450</v>
      </c>
      <c r="H39" t="s">
        <v>4</v>
      </c>
      <c r="I39" s="6">
        <f t="shared" ca="1" si="0"/>
        <v>10.1</v>
      </c>
      <c r="J39" s="9">
        <f t="shared" ca="1" si="1"/>
        <v>10</v>
      </c>
    </row>
    <row r="40" spans="1:10">
      <c r="A40" t="s">
        <v>98</v>
      </c>
      <c r="B40" s="16" t="s">
        <v>99</v>
      </c>
      <c r="C40" t="s">
        <v>22</v>
      </c>
      <c r="D40" t="s">
        <v>8</v>
      </c>
      <c r="E40" s="5">
        <v>45832</v>
      </c>
      <c r="G40">
        <v>3500</v>
      </c>
      <c r="H40" t="s">
        <v>4</v>
      </c>
      <c r="I40" s="6">
        <f t="shared" ca="1" si="0"/>
        <v>9.3666666666666671</v>
      </c>
      <c r="J40" s="9">
        <f t="shared" ca="1" si="1"/>
        <v>9</v>
      </c>
    </row>
    <row r="41" spans="1:10">
      <c r="A41" t="s">
        <v>100</v>
      </c>
      <c r="B41" s="16" t="s">
        <v>101</v>
      </c>
      <c r="C41" t="s">
        <v>25</v>
      </c>
      <c r="D41" t="s">
        <v>10</v>
      </c>
      <c r="E41" s="5">
        <v>45839</v>
      </c>
      <c r="G41">
        <v>2100</v>
      </c>
      <c r="H41" t="s">
        <v>4</v>
      </c>
      <c r="I41" s="6">
        <f t="shared" ca="1" si="0"/>
        <v>9.1333333333333329</v>
      </c>
      <c r="J41" s="9">
        <f t="shared" ca="1" si="1"/>
        <v>9</v>
      </c>
    </row>
    <row r="42" spans="1:10">
      <c r="A42" t="s">
        <v>102</v>
      </c>
      <c r="B42" s="16" t="s">
        <v>103</v>
      </c>
      <c r="C42" t="s">
        <v>22</v>
      </c>
      <c r="D42" t="s">
        <v>7</v>
      </c>
      <c r="E42" s="5">
        <v>45853</v>
      </c>
      <c r="F42" s="5">
        <v>46081</v>
      </c>
      <c r="G42">
        <v>2700</v>
      </c>
      <c r="H42" t="s">
        <v>4</v>
      </c>
      <c r="I42" s="6">
        <f t="shared" ca="1" si="0"/>
        <v>8.6666666666666661</v>
      </c>
      <c r="J42" s="9">
        <f t="shared" ca="1" si="1"/>
        <v>8</v>
      </c>
    </row>
    <row r="43" spans="1:10">
      <c r="A43" t="s">
        <v>104</v>
      </c>
      <c r="B43" t="s">
        <v>105</v>
      </c>
      <c r="C43" t="s">
        <v>22</v>
      </c>
      <c r="D43" t="s">
        <v>11</v>
      </c>
      <c r="E43" s="5">
        <v>45874</v>
      </c>
      <c r="G43">
        <v>1900</v>
      </c>
      <c r="H43" t="s">
        <v>4</v>
      </c>
      <c r="I43" s="6">
        <f t="shared" ca="1" si="0"/>
        <v>8</v>
      </c>
      <c r="J43" s="9">
        <f t="shared" ca="1" si="1"/>
        <v>8</v>
      </c>
    </row>
    <row r="44" spans="1:10">
      <c r="A44" t="s">
        <v>106</v>
      </c>
      <c r="B44" t="s">
        <v>107</v>
      </c>
      <c r="C44" t="s">
        <v>22</v>
      </c>
      <c r="D44" t="s">
        <v>8</v>
      </c>
      <c r="E44" s="5">
        <v>45889</v>
      </c>
      <c r="G44">
        <v>2900</v>
      </c>
      <c r="H44" t="s">
        <v>4</v>
      </c>
      <c r="I44" s="6">
        <f t="shared" ca="1" si="0"/>
        <v>7.5</v>
      </c>
      <c r="J44" s="9">
        <f t="shared" ca="1" si="1"/>
        <v>7</v>
      </c>
    </row>
    <row r="45" spans="1:10">
      <c r="A45" t="s">
        <v>108</v>
      </c>
      <c r="B45" t="s">
        <v>109</v>
      </c>
      <c r="C45" t="s">
        <v>22</v>
      </c>
      <c r="D45" t="s">
        <v>9</v>
      </c>
      <c r="E45" s="5">
        <v>45901</v>
      </c>
      <c r="G45">
        <v>2600</v>
      </c>
      <c r="H45" t="s">
        <v>4</v>
      </c>
      <c r="I45" s="6">
        <f t="shared" ca="1" si="0"/>
        <v>7.1333333333333337</v>
      </c>
      <c r="J45" s="9">
        <f t="shared" ca="1" si="1"/>
        <v>7</v>
      </c>
    </row>
    <row r="46" spans="1:10">
      <c r="A46" t="s">
        <v>110</v>
      </c>
      <c r="B46" s="16" t="s">
        <v>111</v>
      </c>
      <c r="C46" t="s">
        <v>25</v>
      </c>
      <c r="D46" t="s">
        <v>10</v>
      </c>
      <c r="E46" s="5">
        <v>45915</v>
      </c>
      <c r="G46">
        <v>2300</v>
      </c>
      <c r="H46" t="s">
        <v>4</v>
      </c>
      <c r="I46" s="6">
        <f t="shared" ca="1" si="0"/>
        <v>6.666666666666667</v>
      </c>
      <c r="J46" s="9">
        <f t="shared" ca="1" si="1"/>
        <v>6</v>
      </c>
    </row>
    <row r="47" spans="1:10">
      <c r="A47" t="s">
        <v>112</v>
      </c>
      <c r="B47" s="16" t="s">
        <v>113</v>
      </c>
      <c r="C47" t="s">
        <v>25</v>
      </c>
      <c r="D47" t="s">
        <v>11</v>
      </c>
      <c r="E47" s="5">
        <v>45940</v>
      </c>
      <c r="G47">
        <v>1850</v>
      </c>
      <c r="H47" t="s">
        <v>4</v>
      </c>
      <c r="I47" s="6">
        <f t="shared" ca="1" si="0"/>
        <v>5.833333333333333</v>
      </c>
      <c r="J47" s="9">
        <f t="shared" ca="1" si="1"/>
        <v>5</v>
      </c>
    </row>
    <row r="48" spans="1:10">
      <c r="A48" t="s">
        <v>114</v>
      </c>
      <c r="B48" t="s">
        <v>115</v>
      </c>
      <c r="C48" t="s">
        <v>22</v>
      </c>
      <c r="D48" t="s">
        <v>7</v>
      </c>
      <c r="E48" s="5">
        <v>45966</v>
      </c>
      <c r="G48">
        <v>2450</v>
      </c>
      <c r="H48" t="s">
        <v>4</v>
      </c>
      <c r="I48" s="6">
        <f t="shared" ca="1" si="0"/>
        <v>5</v>
      </c>
      <c r="J48" s="9">
        <f t="shared" ca="1" si="1"/>
        <v>5</v>
      </c>
    </row>
    <row r="49" spans="1:10">
      <c r="A49" t="s">
        <v>116</v>
      </c>
      <c r="B49" t="s">
        <v>117</v>
      </c>
      <c r="C49" t="s">
        <v>22</v>
      </c>
      <c r="D49" t="s">
        <v>8</v>
      </c>
      <c r="E49" s="5">
        <v>45981</v>
      </c>
      <c r="G49">
        <v>3200</v>
      </c>
      <c r="H49" t="s">
        <v>4</v>
      </c>
      <c r="I49" s="6">
        <f t="shared" ca="1" si="0"/>
        <v>4.5</v>
      </c>
      <c r="J49" s="9">
        <f t="shared" ca="1" si="1"/>
        <v>4</v>
      </c>
    </row>
    <row r="50" spans="1:10">
      <c r="A50" t="s">
        <v>118</v>
      </c>
      <c r="B50" s="16" t="s">
        <v>119</v>
      </c>
      <c r="C50" t="s">
        <v>25</v>
      </c>
      <c r="D50" t="s">
        <v>9</v>
      </c>
      <c r="E50" s="5">
        <v>45992</v>
      </c>
      <c r="G50">
        <v>2500</v>
      </c>
      <c r="H50" t="s">
        <v>4</v>
      </c>
      <c r="I50" s="6">
        <f t="shared" ca="1" si="0"/>
        <v>4.1333333333333337</v>
      </c>
      <c r="J50" s="9">
        <f t="shared" ca="1" si="1"/>
        <v>4</v>
      </c>
    </row>
    <row r="51" spans="1:10">
      <c r="A51" t="s">
        <v>120</v>
      </c>
      <c r="B51" s="16" t="s">
        <v>121</v>
      </c>
      <c r="C51" t="s">
        <v>25</v>
      </c>
      <c r="D51" t="s">
        <v>7</v>
      </c>
      <c r="E51" s="5">
        <v>46006</v>
      </c>
      <c r="G51">
        <v>2550</v>
      </c>
      <c r="H51" t="s">
        <v>4</v>
      </c>
      <c r="I51" s="6">
        <f t="shared" ca="1" si="0"/>
        <v>3.6666666666666665</v>
      </c>
      <c r="J51" s="9">
        <f t="shared" ca="1" si="1"/>
        <v>3</v>
      </c>
    </row>
    <row r="52" spans="1:10">
      <c r="B52" s="16"/>
      <c r="C52" s="16"/>
      <c r="I52" s="6"/>
    </row>
  </sheetData>
  <dataValidations count="4">
    <dataValidation type="list" allowBlank="1" showInputMessage="1" showErrorMessage="1" sqref="D2:D51" xr:uid="{AFAE0940-3DA6-4C9F-B48D-C894404C60B8}">
      <formula1>"Recursos Humanos, IT, Finanzas, Ventas, Marketing"</formula1>
    </dataValidation>
    <dataValidation allowBlank="1" showInputMessage="1" showErrorMessage="1" sqref="G12:G31" xr:uid="{BB0210F8-D969-4C36-933A-6851706FD1F9}"/>
    <dataValidation type="list" allowBlank="1" showInputMessage="1" showErrorMessage="1" sqref="H2:H51" xr:uid="{69833627-70D4-48E8-8FF7-936EAA3D1173}">
      <formula1>"Activo, Inactivo"</formula1>
    </dataValidation>
    <dataValidation type="list" allowBlank="1" showInputMessage="1" showErrorMessage="1" sqref="C2:C51" xr:uid="{F2936CA6-C32D-49D1-8190-B96E1603B80A}">
      <formula1>"Masculino, Femenino"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4064-82D5-4909-9953-2F09E28805A3}">
  <dimension ref="A3:B7"/>
  <sheetViews>
    <sheetView workbookViewId="0">
      <selection activeCell="B5" sqref="B5"/>
    </sheetView>
  </sheetViews>
  <sheetFormatPr defaultRowHeight="15"/>
  <cols>
    <col min="1" max="1" width="20.85546875" bestFit="1" customWidth="1"/>
    <col min="2" max="2" width="36.5703125" bestFit="1" customWidth="1"/>
  </cols>
  <sheetData>
    <row r="3" spans="1:2">
      <c r="A3" t="s">
        <v>122</v>
      </c>
      <c r="B3" t="s">
        <v>123</v>
      </c>
    </row>
    <row r="5" spans="1:2">
      <c r="A5" t="s">
        <v>124</v>
      </c>
      <c r="B5" t="s">
        <v>125</v>
      </c>
    </row>
    <row r="7" spans="1:2" ht="45.75">
      <c r="A7" t="s">
        <v>126</v>
      </c>
      <c r="B7" s="1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2026-04-03T08:42:18Z</dcterms:created>
  <dcterms:modified xsi:type="dcterms:W3CDTF">2026-04-05T22:13:42Z</dcterms:modified>
  <cp:category/>
  <cp:contentStatus/>
</cp:coreProperties>
</file>